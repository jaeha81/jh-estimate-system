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세부내역서" sheetId="1" state="visible" r:id="rId1"/>
    <sheet xmlns:r="http://schemas.openxmlformats.org/officeDocument/2006/relationships" name="표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4"/>
    </font>
    <font>
      <name val="맑은 고딕"/>
      <sz val="10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sz val="10"/>
    </font>
    <font>
      <name val="맑은 고딕"/>
      <b val="1"/>
      <sz val="11"/>
    </font>
    <font>
      <name val="맑은 고딕"/>
      <b val="1"/>
      <color rgb="00FFFFFF"/>
      <sz val="11"/>
    </font>
    <font>
      <name val="맑은 고딕"/>
      <b val="1"/>
      <color rgb="00FFFFFF"/>
      <sz val="2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F81BD"/>
        <bgColor rgb="004F81BD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C000"/>
        <bgColor rgb="00FFC000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medium">
        <color rgb="004F81BD"/>
      </left>
      <right style="medium">
        <color rgb="004F81BD"/>
      </right>
      <top style="medium">
        <color rgb="004F81BD"/>
      </top>
      <bottom style="medium">
        <color rgb="004F81B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4" fontId="5" fillId="4" borderId="2" applyAlignment="1" pivotButton="0" quotePrefix="0" xfId="0">
      <alignment horizontal="right" vertical="center"/>
    </xf>
    <xf numFmtId="3" fontId="5" fillId="4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4" fontId="5" fillId="5" borderId="2" applyAlignment="1" pivotButton="0" quotePrefix="0" xfId="0">
      <alignment horizontal="right" vertical="center"/>
    </xf>
    <xf numFmtId="3" fontId="5" fillId="5" borderId="2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 wrapText="1"/>
    </xf>
    <xf numFmtId="3" fontId="8" fillId="2" borderId="1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2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6" customWidth="1" min="4" max="4"/>
    <col width="8" customWidth="1" min="5" max="5"/>
    <col width="12" customWidth="1" min="6" max="6"/>
    <col width="12" customWidth="1" min="7" max="7"/>
    <col width="10" customWidth="1" min="8" max="8"/>
    <col width="13" customWidth="1" min="9" max="9"/>
    <col width="14" customWidth="1" min="10" max="10"/>
  </cols>
  <sheetData>
    <row r="1" ht="8" customHeight="1"/>
    <row r="2" ht="8" customHeight="1"/>
    <row r="3" ht="36" customHeight="1">
      <c r="A3" s="1" t="inlineStr">
        <is>
          <t>한 샘 리 하 우 스  세 부 내 역 서</t>
        </is>
      </c>
    </row>
    <row r="4" ht="20" customHeight="1">
      <c r="A4" s="2" t="inlineStr">
        <is>
          <t>공사명: ○○아파트 인테리어 공사 (34평)</t>
        </is>
      </c>
      <c r="F4" s="2" t="inlineStr">
        <is>
          <t>현장주소: 서울 강남구 ○○동 ○○○호</t>
        </is>
      </c>
    </row>
    <row r="5" ht="18" customHeight="1">
      <c r="A5" s="2" t="inlineStr">
        <is>
          <t>공사기간: 2026-05-01 ~ 2026-05-20</t>
        </is>
      </c>
      <c r="F5" s="2" t="inlineStr">
        <is>
          <t>담당자: 홍길동 실장 / 010-1234-5678</t>
        </is>
      </c>
    </row>
    <row r="6" ht="30" customHeight="1">
      <c r="A6" s="3" t="inlineStr">
        <is>
          <t>번호</t>
        </is>
      </c>
      <c r="B6" s="3" t="inlineStr">
        <is>
          <t>품명</t>
        </is>
      </c>
      <c r="C6" s="3" t="inlineStr">
        <is>
          <t>규격</t>
        </is>
      </c>
      <c r="D6" s="3" t="inlineStr">
        <is>
          <t>단위</t>
        </is>
      </c>
      <c r="E6" s="3" t="inlineStr">
        <is>
          <t>수량</t>
        </is>
      </c>
      <c r="F6" s="3" t="inlineStr">
        <is>
          <t>재료비
단가</t>
        </is>
      </c>
      <c r="G6" s="3" t="inlineStr">
        <is>
          <t>노무비
단가</t>
        </is>
      </c>
      <c r="H6" s="3" t="inlineStr">
        <is>
          <t>경비</t>
        </is>
      </c>
      <c r="I6" s="3" t="inlineStr">
        <is>
          <t>단가</t>
        </is>
      </c>
      <c r="J6" s="3" t="inlineStr">
        <is>
          <t>금액</t>
        </is>
      </c>
    </row>
    <row r="7" ht="18" customHeight="1">
      <c r="A7" s="4" t="n">
        <v>1</v>
      </c>
      <c r="B7" s="5" t="inlineStr">
        <is>
          <t>석고보드 9.5T 천장</t>
        </is>
      </c>
      <c r="C7" s="4" t="inlineStr">
        <is>
          <t>9.5T</t>
        </is>
      </c>
      <c r="D7" s="4" t="inlineStr">
        <is>
          <t>㎡</t>
        </is>
      </c>
      <c r="E7" s="6" t="n">
        <v>85</v>
      </c>
      <c r="F7" s="7" t="n">
        <v>10000</v>
      </c>
      <c r="G7" s="7" t="n">
        <v>7000</v>
      </c>
      <c r="H7" s="7" t="n">
        <v>1000</v>
      </c>
      <c r="I7" s="7">
        <f>F7+G7+H7</f>
        <v/>
      </c>
      <c r="J7" s="7">
        <f>E7*I7</f>
        <v/>
      </c>
    </row>
    <row r="8" ht="18" customHeight="1">
      <c r="A8" s="8" t="n">
        <v>2</v>
      </c>
      <c r="B8" s="9" t="inlineStr">
        <is>
          <t>실크 도배</t>
        </is>
      </c>
      <c r="C8" s="8" t="inlineStr">
        <is>
          <t>합지실크</t>
        </is>
      </c>
      <c r="D8" s="8" t="inlineStr">
        <is>
          <t>㎡</t>
        </is>
      </c>
      <c r="E8" s="10" t="n">
        <v>320</v>
      </c>
      <c r="F8" s="11" t="n">
        <v>4000</v>
      </c>
      <c r="G8" s="11" t="n">
        <v>4000</v>
      </c>
      <c r="H8" s="11" t="n">
        <v>500</v>
      </c>
      <c r="I8" s="11">
        <f>F8+G8+H8</f>
        <v/>
      </c>
      <c r="J8" s="11">
        <f>E8*I8</f>
        <v/>
      </c>
    </row>
    <row r="9" ht="18" customHeight="1">
      <c r="A9" s="4" t="n">
        <v>3</v>
      </c>
      <c r="B9" s="5" t="inlineStr">
        <is>
          <t>강마루 12T</t>
        </is>
      </c>
      <c r="C9" s="4" t="inlineStr">
        <is>
          <t>12T 강화마루</t>
        </is>
      </c>
      <c r="D9" s="4" t="inlineStr">
        <is>
          <t>㎡</t>
        </is>
      </c>
      <c r="E9" s="6" t="n">
        <v>112</v>
      </c>
      <c r="F9" s="7" t="n">
        <v>28000</v>
      </c>
      <c r="G9" s="7" t="n">
        <v>15000</v>
      </c>
      <c r="H9" s="7" t="n">
        <v>2000</v>
      </c>
      <c r="I9" s="7">
        <f>F9+G9+H9</f>
        <v/>
      </c>
      <c r="J9" s="7">
        <f>E9*I9</f>
        <v/>
      </c>
    </row>
    <row r="10" ht="18" customHeight="1">
      <c r="A10" s="8" t="n">
        <v>4</v>
      </c>
      <c r="B10" s="9" t="inlineStr">
        <is>
          <t>욕실 타일 300×300</t>
        </is>
      </c>
      <c r="C10" s="8" t="inlineStr">
        <is>
          <t>300×300 자기질</t>
        </is>
      </c>
      <c r="D10" s="8" t="inlineStr">
        <is>
          <t>㎡</t>
        </is>
      </c>
      <c r="E10" s="10" t="n">
        <v>28</v>
      </c>
      <c r="F10" s="11" t="n">
        <v>30000</v>
      </c>
      <c r="G10" s="11" t="n">
        <v>22000</v>
      </c>
      <c r="H10" s="11" t="n">
        <v>3000</v>
      </c>
      <c r="I10" s="11">
        <f>F10+G10+H10</f>
        <v/>
      </c>
      <c r="J10" s="11">
        <f>E10*I10</f>
        <v/>
      </c>
    </row>
    <row r="11" ht="18" customHeight="1">
      <c r="A11" s="4" t="n">
        <v>5</v>
      </c>
      <c r="B11" s="5" t="inlineStr">
        <is>
          <t>주방 타일 200×300</t>
        </is>
      </c>
      <c r="C11" s="4" t="inlineStr">
        <is>
          <t>200×300</t>
        </is>
      </c>
      <c r="D11" s="4" t="inlineStr">
        <is>
          <t>㎡</t>
        </is>
      </c>
      <c r="E11" s="6" t="n">
        <v>12</v>
      </c>
      <c r="F11" s="7" t="n">
        <v>22000</v>
      </c>
      <c r="G11" s="7" t="n">
        <v>18000</v>
      </c>
      <c r="H11" s="7" t="n">
        <v>2000</v>
      </c>
      <c r="I11" s="7">
        <f>F11+G11+H11</f>
        <v/>
      </c>
      <c r="J11" s="7">
        <f>E11*I11</f>
        <v/>
      </c>
    </row>
    <row r="12" ht="18" customHeight="1">
      <c r="A12" s="8" t="n">
        <v>6</v>
      </c>
      <c r="B12" s="9" t="inlineStr">
        <is>
          <t>도어 교체</t>
        </is>
      </c>
      <c r="C12" s="8" t="inlineStr">
        <is>
          <t>ABS도어 900×2100</t>
        </is>
      </c>
      <c r="D12" s="8" t="inlineStr">
        <is>
          <t>EA</t>
        </is>
      </c>
      <c r="E12" s="10" t="n">
        <v>8</v>
      </c>
      <c r="F12" s="11" t="n">
        <v>150000</v>
      </c>
      <c r="G12" s="11" t="n">
        <v>100000</v>
      </c>
      <c r="H12" s="11" t="n">
        <v>30000</v>
      </c>
      <c r="I12" s="11">
        <f>F12+G12+H12</f>
        <v/>
      </c>
      <c r="J12" s="11">
        <f>E12*I12</f>
        <v/>
      </c>
    </row>
    <row r="13" ht="18" customHeight="1">
      <c r="A13" s="4" t="n">
        <v>7</v>
      </c>
      <c r="B13" s="5" t="inlineStr">
        <is>
          <t>수성페인트 2회</t>
        </is>
      </c>
      <c r="C13" s="4" t="inlineStr">
        <is>
          <t>수성</t>
        </is>
      </c>
      <c r="D13" s="4" t="inlineStr">
        <is>
          <t>㎡</t>
        </is>
      </c>
      <c r="E13" s="6" t="n">
        <v>180</v>
      </c>
      <c r="F13" s="7" t="n">
        <v>5000</v>
      </c>
      <c r="G13" s="7" t="n">
        <v>6000</v>
      </c>
      <c r="H13" s="7" t="n">
        <v>1000</v>
      </c>
      <c r="I13" s="7">
        <f>F13+G13+H13</f>
        <v/>
      </c>
      <c r="J13" s="7">
        <f>E13*I13</f>
        <v/>
      </c>
    </row>
    <row r="14" ht="18" customHeight="1">
      <c r="A14" s="8" t="n">
        <v>8</v>
      </c>
      <c r="B14" s="9" t="inlineStr">
        <is>
          <t>기존 바닥재 철거</t>
        </is>
      </c>
      <c r="C14" s="8" t="inlineStr">
        <is>
          <t>-</t>
        </is>
      </c>
      <c r="D14" s="8" t="inlineStr">
        <is>
          <t>㎡</t>
        </is>
      </c>
      <c r="E14" s="10" t="n">
        <v>112</v>
      </c>
      <c r="F14" s="11" t="n">
        <v>3000</v>
      </c>
      <c r="G14" s="11" t="n">
        <v>4500</v>
      </c>
      <c r="H14" s="11" t="n">
        <v>500</v>
      </c>
      <c r="I14" s="11">
        <f>F14+G14+H14</f>
        <v/>
      </c>
      <c r="J14" s="11">
        <f>E14*I14</f>
        <v/>
      </c>
    </row>
    <row r="15" ht="18" customHeight="1">
      <c r="A15" s="4" t="n">
        <v>9</v>
      </c>
      <c r="B15" s="5" t="inlineStr">
        <is>
          <t>폐기물 처리</t>
        </is>
      </c>
      <c r="C15" s="4" t="inlineStr">
        <is>
          <t>5톤</t>
        </is>
      </c>
      <c r="D15" s="4" t="inlineStr">
        <is>
          <t>회</t>
        </is>
      </c>
      <c r="E15" s="6" t="n">
        <v>2</v>
      </c>
      <c r="F15" s="7" t="n">
        <v>150000</v>
      </c>
      <c r="G15" s="7" t="n">
        <v>170000</v>
      </c>
      <c r="H15" s="7" t="n">
        <v>30000</v>
      </c>
      <c r="I15" s="7">
        <f>F15+G15+H15</f>
        <v/>
      </c>
      <c r="J15" s="7">
        <f>E15*I15</f>
        <v/>
      </c>
    </row>
    <row r="16" ht="18" customHeight="1">
      <c r="A16" s="8" t="n">
        <v>10</v>
      </c>
      <c r="B16" s="9" t="inlineStr">
        <is>
          <t>기존 벽지 철거</t>
        </is>
      </c>
      <c r="C16" s="8" t="inlineStr">
        <is>
          <t>-</t>
        </is>
      </c>
      <c r="D16" s="8" t="inlineStr">
        <is>
          <t>㎡</t>
        </is>
      </c>
      <c r="E16" s="10" t="n">
        <v>320</v>
      </c>
      <c r="F16" s="11" t="n">
        <v>1000</v>
      </c>
      <c r="G16" s="11" t="n">
        <v>1800</v>
      </c>
      <c r="H16" s="11" t="n">
        <v>200</v>
      </c>
      <c r="I16" s="11">
        <f>F16+G16+H16</f>
        <v/>
      </c>
      <c r="J16" s="11">
        <f>E16*I16</f>
        <v/>
      </c>
    </row>
    <row r="17" ht="18" customHeight="1">
      <c r="A17" s="4" t="n">
        <v>11</v>
      </c>
      <c r="B17" s="5" t="inlineStr">
        <is>
          <t>욕실 방수</t>
        </is>
      </c>
      <c r="C17" s="4" t="inlineStr">
        <is>
          <t>우레탄방수 2겹</t>
        </is>
      </c>
      <c r="D17" s="4" t="inlineStr">
        <is>
          <t>㎡</t>
        </is>
      </c>
      <c r="E17" s="6" t="n">
        <v>14</v>
      </c>
      <c r="F17" s="7" t="n">
        <v>15000</v>
      </c>
      <c r="G17" s="7" t="n">
        <v>18000</v>
      </c>
      <c r="H17" s="7" t="n">
        <v>2000</v>
      </c>
      <c r="I17" s="7">
        <f>F17+G17+H17</f>
        <v/>
      </c>
      <c r="J17" s="7">
        <f>E17*I17</f>
        <v/>
      </c>
    </row>
    <row r="18" ht="18" customHeight="1">
      <c r="A18" s="8" t="n">
        <v>12</v>
      </c>
      <c r="B18" s="9" t="inlineStr">
        <is>
          <t>하부장 600×720</t>
        </is>
      </c>
      <c r="C18" s="8" t="inlineStr">
        <is>
          <t>W600×H720</t>
        </is>
      </c>
      <c r="D18" s="8" t="inlineStr">
        <is>
          <t>EA</t>
        </is>
      </c>
      <c r="E18" s="10" t="n">
        <v>6</v>
      </c>
      <c r="F18" s="11" t="n">
        <v>90000</v>
      </c>
      <c r="G18" s="11" t="n">
        <v>75000</v>
      </c>
      <c r="H18" s="11" t="n">
        <v>15000</v>
      </c>
      <c r="I18" s="11">
        <f>F18+G18+H18</f>
        <v/>
      </c>
      <c r="J18" s="11">
        <f>E18*I18</f>
        <v/>
      </c>
    </row>
    <row r="19" ht="18" customHeight="1">
      <c r="A19" s="4" t="n">
        <v>13</v>
      </c>
      <c r="B19" s="5" t="inlineStr">
        <is>
          <t>상부장 600×350</t>
        </is>
      </c>
      <c r="C19" s="4" t="inlineStr">
        <is>
          <t>W600×H350</t>
        </is>
      </c>
      <c r="D19" s="4" t="inlineStr">
        <is>
          <t>EA</t>
        </is>
      </c>
      <c r="E19" s="6" t="n">
        <v>5</v>
      </c>
      <c r="F19" s="7" t="n">
        <v>65000</v>
      </c>
      <c r="G19" s="7" t="n">
        <v>45000</v>
      </c>
      <c r="H19" s="7" t="n">
        <v>10000</v>
      </c>
      <c r="I19" s="7">
        <f>F19+G19+H19</f>
        <v/>
      </c>
      <c r="J19" s="7">
        <f>E19*I19</f>
        <v/>
      </c>
    </row>
    <row r="20" ht="18" customHeight="1">
      <c r="A20" s="8" t="n">
        <v>14</v>
      </c>
      <c r="B20" s="9" t="inlineStr">
        <is>
          <t>인건비</t>
        </is>
      </c>
      <c r="C20" s="8" t="inlineStr">
        <is>
          <t>-</t>
        </is>
      </c>
      <c r="D20" s="8" t="inlineStr">
        <is>
          <t>식</t>
        </is>
      </c>
      <c r="E20" s="10" t="n">
        <v>1</v>
      </c>
      <c r="F20" s="11" t="n">
        <v>0</v>
      </c>
      <c r="G20" s="11" t="n">
        <v>480000</v>
      </c>
      <c r="H20" s="11" t="n">
        <v>20000</v>
      </c>
      <c r="I20" s="11">
        <f>F20+G20+H20</f>
        <v/>
      </c>
      <c r="J20" s="11">
        <f>E20*I20</f>
        <v/>
      </c>
    </row>
    <row r="21" ht="18" customHeight="1">
      <c r="A21" s="4" t="n">
        <v>15</v>
      </c>
      <c r="B21" s="5" t="inlineStr">
        <is>
          <t>EP도장 2차</t>
        </is>
      </c>
      <c r="C21" s="4" t="inlineStr">
        <is>
          <t>에폭시</t>
        </is>
      </c>
      <c r="D21" s="4" t="inlineStr">
        <is>
          <t>㎡</t>
        </is>
      </c>
      <c r="E21" s="6" t="n">
        <v>20</v>
      </c>
      <c r="F21" s="7" t="n">
        <v>12000</v>
      </c>
      <c r="G21" s="7" t="n">
        <v>14000</v>
      </c>
      <c r="H21" s="7" t="n">
        <v>2000</v>
      </c>
      <c r="I21" s="7">
        <f>F21+G21+H21</f>
        <v/>
      </c>
      <c r="J21" s="7">
        <f>E21*I21</f>
        <v/>
      </c>
    </row>
    <row r="22" ht="18" customHeight="1">
      <c r="A22" s="8" t="n">
        <v>16</v>
      </c>
      <c r="B22" s="9" t="inlineStr">
        <is>
          <t>걸레받이 MDF 10T</t>
        </is>
      </c>
      <c r="C22" s="8" t="inlineStr">
        <is>
          <t>MDF 10T</t>
        </is>
      </c>
      <c r="D22" s="8" t="inlineStr">
        <is>
          <t>M</t>
        </is>
      </c>
      <c r="E22" s="10" t="n">
        <v>95</v>
      </c>
      <c r="F22" s="11" t="n">
        <v>2500</v>
      </c>
      <c r="G22" s="11" t="n">
        <v>2500</v>
      </c>
      <c r="H22" s="11" t="n">
        <v>500</v>
      </c>
      <c r="I22" s="11">
        <f>F22+G22+H22</f>
        <v/>
      </c>
      <c r="J22" s="11">
        <f>E22*I22</f>
        <v/>
      </c>
    </row>
    <row r="23" ht="18" customHeight="1">
      <c r="A23" s="4" t="n">
        <v>17</v>
      </c>
      <c r="B23" s="5" t="inlineStr">
        <is>
          <t>기타 잡공사</t>
        </is>
      </c>
      <c r="C23" s="4" t="inlineStr">
        <is>
          <t>-</t>
        </is>
      </c>
      <c r="D23" s="4" t="inlineStr">
        <is>
          <t>식</t>
        </is>
      </c>
      <c r="E23" s="6" t="n">
        <v>1</v>
      </c>
      <c r="F23" s="7" t="n">
        <v>0</v>
      </c>
      <c r="G23" s="7" t="n">
        <v>270000</v>
      </c>
      <c r="H23" s="7" t="n">
        <v>30000</v>
      </c>
      <c r="I23" s="7">
        <f>F23+G23+H23</f>
        <v/>
      </c>
      <c r="J23" s="7">
        <f>E23*I23</f>
        <v/>
      </c>
    </row>
    <row r="24" ht="18" customHeight="1">
      <c r="A24" s="8" t="n">
        <v>18</v>
      </c>
      <c r="B24" s="9" t="inlineStr">
        <is>
          <t>시스템 선반 W900</t>
        </is>
      </c>
      <c r="C24" s="8" t="inlineStr">
        <is>
          <t>W900×D300</t>
        </is>
      </c>
      <c r="D24" s="8" t="inlineStr">
        <is>
          <t>EA</t>
        </is>
      </c>
      <c r="E24" s="10" t="n">
        <v>3</v>
      </c>
      <c r="F24" s="11" t="n">
        <v>40000</v>
      </c>
      <c r="G24" s="11" t="n">
        <v>38000</v>
      </c>
      <c r="H24" s="11" t="n">
        <v>7000</v>
      </c>
      <c r="I24" s="11">
        <f>F24+G24+H24</f>
        <v/>
      </c>
      <c r="J24" s="11">
        <f>E24*I24</f>
        <v/>
      </c>
    </row>
    <row r="25" ht="22" customHeight="1">
      <c r="A25" s="12" t="inlineStr">
        <is>
          <t>합  계</t>
        </is>
      </c>
      <c r="J25" s="13">
        <f>SUM(J7:J24)</f>
        <v/>
      </c>
    </row>
    <row r="26" ht="18" customHeight="1">
      <c r="A26" s="8" t="inlineStr">
        <is>
          <t>부가가치세 (10%)</t>
        </is>
      </c>
      <c r="J26" s="11">
        <f>J25*0.1</f>
        <v/>
      </c>
    </row>
    <row r="27" ht="24" customHeight="1">
      <c r="A27" s="14" t="inlineStr">
        <is>
          <t>총 공사금액</t>
        </is>
      </c>
      <c r="J27" s="15">
        <f>J25+J26</f>
        <v/>
      </c>
    </row>
  </sheetData>
  <mergeCells count="8">
    <mergeCell ref="A25:I25"/>
    <mergeCell ref="A4:E4"/>
    <mergeCell ref="A3:J3"/>
    <mergeCell ref="F5:J5"/>
    <mergeCell ref="A5:E5"/>
    <mergeCell ref="A27:I27"/>
    <mergeCell ref="A26:I26"/>
    <mergeCell ref="F4:J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5" customWidth="1" min="2" max="2"/>
  </cols>
  <sheetData>
    <row r="1" ht="50" customHeight="1">
      <c r="A1" s="16" t="inlineStr">
        <is>
          <t>한 샘  리 하 우 스</t>
        </is>
      </c>
    </row>
    <row r="3" ht="24" customHeight="1">
      <c r="A3" s="17" t="inlineStr">
        <is>
          <t>공사명</t>
        </is>
      </c>
      <c r="B3" s="18" t="inlineStr">
        <is>
          <t>○○아파트 인테리어 공사</t>
        </is>
      </c>
    </row>
    <row r="4" ht="24" customHeight="1">
      <c r="A4" s="17" t="inlineStr">
        <is>
          <t>현장주소</t>
        </is>
      </c>
      <c r="B4" s="18" t="inlineStr">
        <is>
          <t>서울 강남구 ○○동 ○○○호</t>
        </is>
      </c>
    </row>
    <row r="5" ht="24" customHeight="1">
      <c r="A5" s="17" t="inlineStr">
        <is>
          <t>공사면적</t>
        </is>
      </c>
      <c r="B5" s="18" t="inlineStr">
        <is>
          <t>112.39㎡ (34평)</t>
        </is>
      </c>
    </row>
    <row r="6" ht="24" customHeight="1">
      <c r="A6" s="17" t="inlineStr">
        <is>
          <t>공사기간</t>
        </is>
      </c>
      <c r="B6" s="18" t="inlineStr">
        <is>
          <t>2026-05-01 ~ 2026-05-20</t>
        </is>
      </c>
    </row>
    <row r="7" ht="24" customHeight="1">
      <c r="A7" s="17" t="inlineStr">
        <is>
          <t>담당자</t>
        </is>
      </c>
      <c r="B7" s="18" t="inlineStr">
        <is>
          <t>홍길동 실장</t>
        </is>
      </c>
    </row>
    <row r="8" ht="24" customHeight="1">
      <c r="A8" s="17" t="inlineStr">
        <is>
          <t>연락처</t>
        </is>
      </c>
      <c r="B8" s="18" t="inlineStr">
        <is>
          <t>010-1234-5678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2026-04-09T15:38:08Z</dcterms:created>
  <dcterms:modified xmlns:dcterms="http://purl.org/dc/terms/" xmlns:xsi="http://www.w3.org/2001/XMLSchema-instance" xsi:type="dcterms:W3CDTF">2026-04-09T15:38:08Z</dcterms:modified>
</cp:coreProperties>
</file>